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80"/>
  </bookViews>
  <sheets>
    <sheet name="Sheet1" sheetId="1" r:id="rId1"/>
    <sheet name="Sheet2" sheetId="2" r:id="rId2"/>
  </sheets>
  <calcPr calcId="144525"/>
</workbook>
</file>

<file path=xl/sharedStrings.xml><?xml version="1.0" encoding="utf-8"?>
<sst xmlns="http://schemas.openxmlformats.org/spreadsheetml/2006/main" count="100" uniqueCount="79">
  <si>
    <t>IP地址查询校准系统技术评分表</t>
  </si>
  <si>
    <t>序号</t>
  </si>
  <si>
    <t>一级指标</t>
  </si>
  <si>
    <t>二级指标</t>
  </si>
  <si>
    <t>三级指标</t>
  </si>
  <si>
    <t>分值
（建议）</t>
  </si>
  <si>
    <t>评分规则</t>
  </si>
  <si>
    <t>类型</t>
  </si>
  <si>
    <t>应答材料要求</t>
  </si>
  <si>
    <t>公司综合能力
（4分）</t>
  </si>
  <si>
    <t>管理体系认证</t>
  </si>
  <si>
    <t>1、提供有效的ISO 27001信息安全管理体系认证证书，得1分；
2、提供有效的ISO 20000信息技术服务管理体系证书，得1分；
 本项满分【2】分。
（上述证书需在“全国认证认可公共服务平台”cx.cnca.cn可查验，否则不予认可；存在弄虚作假行为的将按规定进行认定和处理），证书认证或适用范围需涵盖应答应答产品所在品类，每具备一个得1分，同一系列的认证证书只得一次分。</t>
  </si>
  <si>
    <t>客观分</t>
  </si>
  <si>
    <t>提供相关证书扫描件（证书在有效期内），原件备查</t>
  </si>
  <si>
    <t>技术创新</t>
  </si>
  <si>
    <t>软件著作权</t>
  </si>
  <si>
    <t>提供国家版权局颁发的应答产品相关的网络安全类产品软件著作权证书，须包括“溯源”、“IP溯源”、“定位”、“IP定位”等任一类关键词。每提供一个得1分，本项满分2分。</t>
  </si>
  <si>
    <t>提供软件著作权证明文件。</t>
  </si>
  <si>
    <t>专业资质及项目经验
（11分）</t>
  </si>
  <si>
    <t>专业资质</t>
  </si>
  <si>
    <t>对与本次服务相关的有效资质进行评分，分资质和等级进行评分。
1、具备CMMI五级得1分，其他不得分；
2、具备中国通信企业协会通信网络安全服务能力安全设计与集成或应急响应二级及以上资质（三级最高），得1分，其他不得分；
3、具备中国网络安全审查认证和市场监管大数据中心安全集成或应急处理二级及以上资质（一级最高），得1分，其他不得分。
 本项满分【3】分。</t>
  </si>
  <si>
    <t>项目经验</t>
  </si>
  <si>
    <t>同类项目经验</t>
  </si>
  <si>
    <t>对2023年1月1日以来应答人的同类合同业绩进行评审（同类指：合同名称或合同内容包含“IP溯源”或“地址溯源”或“溯源定位”或“IP定位”或“地址定位”等任一关键词的开发类项目）：
1、单份合同金额≥100万元的每份得4分；
2、50万元≤单份合同金额＜100万元的每份得3分；
3、单个合同金额在50万元及以下不得分。
 本项满分【8】分。</t>
  </si>
  <si>
    <t>1、提供相关合同关键页扫描件、与合同匹配的发票及必要的证明材料，原件备查。
2、资格条件业绩不纳入本项评分范围，具体规则详见采购文件。
3、其他详细要求及认定标准详见采购文件。</t>
  </si>
  <si>
    <t>服务能力
（13分）</t>
  </si>
  <si>
    <t>人员能力</t>
  </si>
  <si>
    <t>项目经理能力</t>
  </si>
  <si>
    <t>对项目经理的专业能力进行评审。
1、具备项目管理专业人员资质PMP，得1分；
2、安全相关认证：具备CISP、CISSP、CISAW之一的得1分；
3、具有10年以上工作经验，得1分；
 本项满分【3】分。</t>
  </si>
  <si>
    <t>1、提供资质证书扫描件、资质查询链接及查询结果截图，证书在有效期内；
2、工作经验年限以提供的学历证书时间开始计算；
3、项目经理社保须由应答人缴纳，提供本项目应答截止时间前半年内任意2个月的由社保机构盖章的项目经理社保缴纳证明材料扫描件（退休返聘无法提供社保的，提供退休证及返聘合同），否则此项不得分。</t>
  </si>
  <si>
    <t>团队成员能力</t>
  </si>
  <si>
    <t>对服务团队的成员人数和技能等情况进行评分。
1、服务团队成员数量：人员数量少于1人的不得分，在1人的基础上，每多1人得1分，此小项满分2分；
2、专业技术认证及数量：团队成员具备安全相关认证（CISP全系列或CISSP）、信息安全风险评估相关认证（CISAW各专业方向或CISA），每人得1分（同一人提供多个认证的，只取等级最高的一份认证进行评审），此小项满分3分；
 本项满分【5】分。</t>
  </si>
  <si>
    <t>1、提供资质证书扫描件、资质查询链接及查询结果截图，证书在有效期内；
2、提供本项目应答截止时间前半年内任意2个月的由社保机构盖章的人员社保缴纳证明材料（如为第三方劳务公司缴纳的社保，请提供劳务公司与应答人签署的社保代缴合同及劳务公司有效的《劳务派遣经营许可证》扫描件，且劳务派遣合同信息中须包括涉及的团队成员姓名与身份证号码；如为第三方人力资源公司缴纳的社保，请提供人力资源公司与应答人签署的社保代缴协议及有效的《人力资源服务许可证》扫描件，且社保代缴协议信息中须包括涉及的团队成员姓名与身份证号码；如为退休返聘无法提供社保的，提供退休证及返聘合同）</t>
  </si>
  <si>
    <t>设计开发方案</t>
  </si>
  <si>
    <t>根据应答的设计开发方案优劣程度进行评分，其中方案完整性指：至少应包含“对项目需求的理解”、“软件基本功能设计”、“质量控制”、“进度控制”、“技术文件清单”、“服务和技术培训”等内容，评分标准如下：
1、对本项目工作定位具有清晰认识，服务实施方案阐述完整、可行性高，与工作要求契合度高，得[4,5]分；
2、对本相关目工作定位认识基本清楚，实施方案阐述基本完整、具备一定可行性，基本契合工作要求，得[2,3]分；
3、对本项目工作定位认识不太清晰，或实施方案阐述不完整、可行性较低，与工作要求契合度低，得1分。
4、未提供服务方案，或定位认识模糊，或方案阐述混乱、基本无可行性，与工作要求基本无契合，得0分。
 本项评分步长 1分，满分【5】分。</t>
  </si>
  <si>
    <t>主观分</t>
  </si>
  <si>
    <t>提供设计开发方案</t>
  </si>
  <si>
    <t>软件功能与性能（65分）</t>
  </si>
  <si>
    <t>软件功能与性能</t>
  </si>
  <si>
    <t>IP主体定位查询能力</t>
  </si>
  <si>
    <t>IP主体信息查询
1、支持输入移网、家宽场景动态IP地址（支持IPV4地址和IPV6地址）、端口、开始时间、结束时间查询条件，创建IP主体信息查询任务，获取移网、家宽动态IP地址主体信息（满足得4分，部分满足、不满足不得分）；
2、支持输入专线、IDC、自有业务场景静态IP地址、开始时间、结束时间查询条件，创建IP主体信息查询任务，获取自有业务资产场景静态IP地址主体信息（满足得4分，部分满足、不满足不得分）；
3、支持查看IP主体信息查询路径回溯，含基本信息和执行路径（满足得2分，部分满足、不满足不得分）；
 本项满分【10】分。</t>
  </si>
  <si>
    <t>提供测试报告</t>
  </si>
  <si>
    <t>任务列表多维度查询
1、支持按条件组合查询任务列表（满足得2分，部分满足、不满足不得分）；
2、支持从任务列表跳转查看主体信息查询任务结果（含基本信息、定位结果）（满足得1分，部分满足、不满足不得分）；
3、支持从任务列表跳转查看路径查询回放（含该查询任务基本信息，任务查询的执行路径）（满足得2分，部分满足、不满足不得分）；
4、支持查看定位详情（包含溯源字段、定位值、数据源，部分满足、不满足不得分）（满足得2分）；
 本项满分【7】分。</t>
  </si>
  <si>
    <t>支持批量导入IP查询
1、支持xlsx格式批量IP地址信息上传查询（满足得1分，部分满足、不满足不得分）； 
2、支持批量导入模板下载（满足得1分，部分满足、不满足不得分）； 
3、支持对导入文件的大小限制，当超出文件限制时提示用户（满足得1分，部分满足、不满足不得分）；
 本项满分【3】分。</t>
  </si>
  <si>
    <t>支持人工方式修改IP主体信息
1.支持用户对IP主体信息字段发起人工修正（满足得1分，部分满足、不满足不得分）；
 2.支持提交成功后生成冲突来源为“用户修正”的冲突工单（满足得2分，部分满足、不满足不得分）； 
本项满分【2】分。</t>
  </si>
  <si>
    <t>支持通过审批查看IP主体敏感信息
1、支持对IP主体信息定位结果中的用户个人敏感信息、单位敏感信息脱敏展示；（满足得1分，部分满足、不满足不得分）；
2、支持查看IP主体信息定位结果中的用户个人敏感信息、单位敏感信息前进行审批（满足得2分，部分满足、不满足不得分）；
3、支持审批验证通过后查看IP主体信息定位结果中的用户个人敏感信息、单位敏感信息的明文信息（满足得1分，部分满足、不满足不得分）；
 本项满分【4】分。</t>
  </si>
  <si>
    <t>数据与路径管理</t>
  </si>
  <si>
    <t>数据源管理
1、支持新增、编辑、删除IP主体信息定位所需数据源，（支持新增时输入体现数据源类型、数据源权威性、数据源负责人信息等方便数据源维护的基础信息；支持是否开启对数据源的告警监控）；（满足得2分，部分满足、不满足不得分）；
2、支持用户在线查看已有数据源的详细信息（包括数据源类型、数据源权威性、数据源负责人信息等基础信息、监控告警是否开启信息、数据源的配置属性）（满足得1分，部分满足、不满足不得分）；
3、支持数据源信息的列表展示，支持按条件对数据源信息进行筛选；（满足得1分，部分满足、不满足不得分）；
 本项满分【4】分。</t>
  </si>
  <si>
    <t>主体信息管理
1、支持创建主体信息模板，支持对模板中的字段进行新增、编辑、删除；（满足得2分，部分满足、不满足不得分）；
2、支持查看创建的主体信息详情（详情中应包含字段名称、字段是否必填、是否加密等信息）；（满足得2分，部分满足、不满足不得分）；
 本项满分【4】分。</t>
  </si>
  <si>
    <t>场景查询路径管理：
1、支持针对集团要求的五类IP主体信息定位场景进行创建与管理：包括场景的新增、编辑、删除；（满足得2分，部分满足、不满足不得分）；
2、支持在创建场景时输入场景包含的IP地址范围；（满足得1分，部分满足、不满足不得分）；
3、相关场景创建后，支持对场景的的状态执行开启或关闭操作；（满足得1分，部分满足、不满足不得分）；
4、支持按场景需求创建场景查询路径（含开始节点、执行节点、判断节点），并基于实际查询逻辑进行路径配置（满足得2分，部分满足、不满足不得分）；
5、 可视化拖拽构建：支持通过拖拽方式完成节点连线、分支与判断组件的布局，支持删除、重连及画布调整（满足得1分，部分满足、不满足不得分）；  
6、保存与发布生效：路径配置完成后可保存并发布（满足得1分，部分满足、不满足不得分）；
 本项满分【8】分。</t>
  </si>
  <si>
    <t>数据校验能力</t>
  </si>
  <si>
    <t>冲突工单检测
1、提供冲突工单统一台账展示，完整呈现冲突相关核心信息，（满足得3分，部分满足、不满足不得分）；
2、支持多条件筛选查询工单，具备查询、重置、分页能力，（满足得1分，部分满足、不满足不得分）；
3、工单支持查看处置建议、手动修正、治理校验、详情查阅闭环操作；（满足得2分，部分满足、不满足不得分）；
4、支持工单生命周期时间线可视化，展示全流程关键节点与完成时间；（满足得2分，部分满足、不满足不得分）；
 本项满分【8】分。</t>
  </si>
  <si>
    <t>置信度评估规则
1、支持多维度自定义数据质量评估体系，可灵活配置各类评估维度及对应加权系数，通过分项得分加权计算得出数据综合质量总分；（满足得2分，部分满足、不满足不得分）
2、支持各类评估维度的说明，方便用户了解该维度信息；（满足得1分，部分满足、不满足不得分）
3、支持独立风险扣分项配置，可对可疑、高风险数据执行固定分值扣减；（满足得2分，部分满足、不满足不得分）
4、各评估维度支持可视化分级标尺展示，采用多色分段直观区分数据质量等级；（满足得1分，部分满足、不满足不得分）
5、完整留存全量评估台账记录，列表展示访问标识、数据源、评估时间、综合总分、各维度分项得分、扣分项等信息；（满足得1分，部分满足、不满足不得分）
6、支持多条件检索、筛选重置、分页查看评估记录。（满足得1分，部分满足、不满足不得分）
 本项满分【8】分。</t>
  </si>
  <si>
    <t>平台系统管理能力</t>
  </si>
  <si>
    <t>日志管理
1.系统支持用户操作日志查看功能，日志列表可完整展示操作时间、操作类型、操作人、请求地址、操作详情字段，（满足得1分，部分满足、不满足不得分）；
2.系统支持依据操作类型、操作详情等条件实现日志多维度检索查询（满足得1分，部分满足、不满足不得分）；
本项满分【2】分。</t>
  </si>
  <si>
    <t>安全配置
1、具备密码策略自定义配置能力：可配置密码历史留存规则、密码有效天数、密码到期前置提醒天数、密码最小长度；（满足得1分，部分满足、不满足不得分）；
2、支持提供密码复杂度说明，方便用户配置前了解配置密码的最低要求；（满足得1分，部分满足、不满足不得分）；
3、具备登录安全限制配置能力，可配置登录失败锁定次数阈值、账号锁定持续时长、会话空闲超时时间；（满足得1分，部分满足、不满足不得分）
4、具备访问权限管控配置能力，支持自定义授权访问 IP 地址段，系统默认放开全部 IP 访问权限；（满足得1分，部分满足、不满足不得分）
 本项满分【4】分。</t>
  </si>
  <si>
    <t>支撑及售后
（3分）</t>
  </si>
  <si>
    <t>支撑及售后服务</t>
  </si>
  <si>
    <t>交付时限</t>
  </si>
  <si>
    <t>合同签署后最迟60天必须上线，每提前5天得1分。
 本项满分【2】分。</t>
  </si>
  <si>
    <t>提供关于此条款的应答或承诺</t>
  </si>
  <si>
    <t>服务响应时限</t>
  </si>
  <si>
    <t>根据承诺的服务响应时限进行评分：
承诺发生故障响应时间≤1小时、到达现场时间≤4小时且故障解决时间≤8小时得1分，低于该标准或未承诺的不得分。
 本项满分【1】分。</t>
  </si>
  <si>
    <t>资源占用情况（1分）</t>
  </si>
  <si>
    <t>资源占用情况</t>
  </si>
  <si>
    <t>承诺在以下资源配置（CPU：12核 64位；内存: 64GB ）或者更高的配置环境中，启动程序后所占用的资源：CPU日均值不超过80%、内存日均值不超过80%、存储I/O日均值不超过80%，如后期出现不满足资源占用要求的情况，需要配合优化，在15个工作日内完成。承诺全部满足得1分，未提供承诺或未承诺全部满足不得分。</t>
  </si>
  <si>
    <t>应答应答情况
（3分）</t>
  </si>
  <si>
    <t>条款应答</t>
  </si>
  <si>
    <t>非关键条款满足情况</t>
  </si>
  <si>
    <t>针对其中非关键条款的应答，每有一项负偏离或未应答的，扣1分，最低0分。
 本项满分【1】分。</t>
  </si>
  <si>
    <t>应答文件质量</t>
  </si>
  <si>
    <t>对应答/应答文件编制的质量进行评分（包括但不限于：内容完整性、索引清晰性、对技术评分表自应答的准确性、是否提供合同业绩Excel表、项目成员统计Excel表及采购文件要求提供的其他表格等），提供完整且准确的得2分，存在部分缺失或不准确的视程度得1分，均不提供或基本不准确的得0分，步长1分。
 本项满分【2】分。</t>
  </si>
  <si>
    <t>按要求提供完整的应答文件，并提供自应答、业绩等各种Excel表格</t>
  </si>
  <si>
    <t>汇总</t>
  </si>
  <si>
    <t>说明：</t>
  </si>
  <si>
    <t>1、各项评分均保留小数点后2位。</t>
  </si>
  <si>
    <t>2、若根据评分细则汇总得分超过该项“分值”列设置的分数（即该项满分分值）的，以“分值”列设置的分数为该项得分；若汇总后得分为负值的，则以“0”分为该项得分。</t>
  </si>
  <si>
    <t>3、分值范围中使用“[”或“]”为包含当前数字，“（”或“）”为不含当前数，例如分值范围为(3,5]，则：3分＜评分≤5分。</t>
  </si>
  <si>
    <t>根据工业和信息化部2025年基础电信网络安全科技创新揭榜挂帅任务：“基础电信企业省属IP地址查询技术校准技术研究”课题公关内容，建设IP主体信息定位平台，依托安徽移动公司基础数据资源优势，实现基础数据资源从采集、存储到查询的有效融合与应用。通过集中化、标准化采集 IP 主体数据，达成基础数据的汇聚；利用融合算法、融合策略实现对多源异构数据的融合，解决现有数据分散、信息量有限、时效性不佳、关联困难等问题，确保信息的全面性与准确性。通过对 IP 主体数据建立高效检索机制，具备向上级单位、监管单位提供 IP主体归属定位查询服务的能力，同时可有效支撑省内网络安全溯源工作。现将采购方案请示如下：</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</si>
</sst>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8"/>
      <color theme="1"/>
      <name val="宋体"/>
      <charset val="134"/>
      <scheme val="minor"/>
    </font>
    <font>
      <sz val="14"/>
      <name val="微软雅黑"/>
      <charset val="134"/>
    </font>
    <font>
      <b/>
      <sz val="14"/>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4" fillId="2" borderId="0" applyNumberFormat="0" applyBorder="0" applyAlignment="0" applyProtection="0">
      <alignment vertical="center"/>
    </xf>
    <xf numFmtId="0" fontId="5" fillId="3"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4" borderId="0" applyNumberFormat="0" applyBorder="0" applyAlignment="0" applyProtection="0">
      <alignment vertical="center"/>
    </xf>
    <xf numFmtId="0" fontId="6" fillId="5" borderId="0" applyNumberFormat="0" applyBorder="0" applyAlignment="0" applyProtection="0">
      <alignment vertical="center"/>
    </xf>
    <xf numFmtId="43" fontId="0" fillId="0" borderId="0" applyFont="0" applyFill="0" applyBorder="0" applyAlignment="0" applyProtection="0">
      <alignment vertical="center"/>
    </xf>
    <xf numFmtId="0" fontId="7" fillId="6"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7" borderId="7" applyNumberFormat="0" applyFont="0" applyAlignment="0" applyProtection="0">
      <alignment vertical="center"/>
    </xf>
    <xf numFmtId="0" fontId="7" fillId="8"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8" applyNumberFormat="0" applyFill="0" applyAlignment="0" applyProtection="0">
      <alignment vertical="center"/>
    </xf>
    <xf numFmtId="0" fontId="7" fillId="9" borderId="0" applyNumberFormat="0" applyBorder="0" applyAlignment="0" applyProtection="0">
      <alignment vertical="center"/>
    </xf>
    <xf numFmtId="0" fontId="10" fillId="0" borderId="9" applyNumberFormat="0" applyFill="0" applyAlignment="0" applyProtection="0">
      <alignment vertical="center"/>
    </xf>
    <xf numFmtId="0" fontId="7" fillId="10" borderId="0" applyNumberFormat="0" applyBorder="0" applyAlignment="0" applyProtection="0">
      <alignment vertical="center"/>
    </xf>
    <xf numFmtId="0" fontId="16" fillId="11" borderId="10" applyNumberFormat="0" applyAlignment="0" applyProtection="0">
      <alignment vertical="center"/>
    </xf>
    <xf numFmtId="0" fontId="17" fillId="11" borderId="6" applyNumberFormat="0" applyAlignment="0" applyProtection="0">
      <alignment vertical="center"/>
    </xf>
    <xf numFmtId="0" fontId="18" fillId="12" borderId="11" applyNumberFormat="0" applyAlignment="0" applyProtection="0">
      <alignment vertical="center"/>
    </xf>
    <xf numFmtId="0" fontId="4" fillId="13" borderId="0" applyNumberFormat="0" applyBorder="0" applyAlignment="0" applyProtection="0">
      <alignment vertical="center"/>
    </xf>
    <xf numFmtId="0" fontId="7" fillId="14" borderId="0" applyNumberFormat="0" applyBorder="0" applyAlignment="0" applyProtection="0">
      <alignment vertical="center"/>
    </xf>
    <xf numFmtId="0" fontId="19" fillId="0" borderId="12" applyNumberFormat="0" applyFill="0" applyAlignment="0" applyProtection="0">
      <alignment vertical="center"/>
    </xf>
    <xf numFmtId="0" fontId="20" fillId="0" borderId="13" applyNumberFormat="0" applyFill="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4" fillId="17" borderId="0" applyNumberFormat="0" applyBorder="0" applyAlignment="0" applyProtection="0">
      <alignment vertical="center"/>
    </xf>
    <xf numFmtId="0" fontId="7"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7" fillId="27" borderId="0" applyNumberFormat="0" applyBorder="0" applyAlignment="0" applyProtection="0">
      <alignment vertical="center"/>
    </xf>
    <xf numFmtId="0" fontId="4" fillId="28"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4" fillId="31" borderId="0" applyNumberFormat="0" applyBorder="0" applyAlignment="0" applyProtection="0">
      <alignment vertical="center"/>
    </xf>
    <xf numFmtId="0" fontId="7" fillId="32" borderId="0" applyNumberFormat="0" applyBorder="0" applyAlignment="0" applyProtection="0">
      <alignment vertical="center"/>
    </xf>
  </cellStyleXfs>
  <cellXfs count="28">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2" fillId="0" borderId="0" xfId="0" applyFont="1" applyFill="1" applyAlignment="1">
      <alignment horizontal="center"/>
    </xf>
    <xf numFmtId="0" fontId="2" fillId="0" borderId="0" xfId="0" applyFont="1" applyFill="1" applyAlignment="1">
      <alignment horizontal="center" wrapText="1"/>
    </xf>
    <xf numFmtId="0" fontId="2" fillId="0" borderId="0" xfId="0" applyFont="1" applyFill="1" applyAlignment="1">
      <alignment horizontal="left" vertical="center"/>
    </xf>
    <xf numFmtId="0" fontId="2" fillId="0" borderId="0" xfId="0" applyFont="1" applyFill="1">
      <alignment vertical="center"/>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2" fillId="0" borderId="2" xfId="0" applyFont="1" applyFill="1" applyBorder="1" applyAlignment="1">
      <alignment horizontal="center" vertical="center"/>
    </xf>
    <xf numFmtId="0" fontId="2" fillId="0" borderId="2"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3" xfId="0" applyFont="1" applyFill="1" applyBorder="1" applyAlignment="1">
      <alignment horizontal="center" vertical="center"/>
    </xf>
    <xf numFmtId="0" fontId="2" fillId="0" borderId="3" xfId="0" applyFont="1" applyFill="1" applyBorder="1" applyAlignment="1">
      <alignment horizontal="center" vertical="center" wrapText="1"/>
    </xf>
    <xf numFmtId="0" fontId="2" fillId="0"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4"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5" xfId="0" applyFont="1" applyFill="1" applyBorder="1" applyAlignment="1">
      <alignment horizontal="center" vertical="center" wrapText="1"/>
    </xf>
    <xf numFmtId="49" fontId="2" fillId="0" borderId="3" xfId="0" applyNumberFormat="1" applyFont="1" applyFill="1" applyBorder="1" applyAlignment="1">
      <alignment horizontal="center" vertical="center"/>
    </xf>
    <xf numFmtId="0" fontId="2" fillId="0" borderId="3" xfId="0" applyFont="1" applyFill="1" applyBorder="1" applyAlignment="1">
      <alignment horizontal="left" vertical="center" wrapText="1"/>
    </xf>
    <xf numFmtId="49" fontId="2" fillId="0" borderId="1" xfId="0" applyNumberFormat="1" applyFont="1" applyFill="1" applyBorder="1" applyAlignment="1">
      <alignment horizontal="center" vertical="center" wrapText="1"/>
    </xf>
    <xf numFmtId="0" fontId="2" fillId="0" borderId="1" xfId="0" applyFont="1" applyFill="1" applyBorder="1" applyAlignment="1">
      <alignment horizontal="left"/>
    </xf>
    <xf numFmtId="0" fontId="2" fillId="0" borderId="1" xfId="0" applyFont="1" applyFill="1" applyBorder="1" applyAlignment="1">
      <alignment horizontal="left" vertical="center"/>
    </xf>
    <xf numFmtId="0" fontId="2" fillId="0" borderId="1" xfId="0" applyFont="1" applyFill="1" applyBorder="1"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30"/>
  <sheetViews>
    <sheetView showGridLines="0" tabSelected="1" zoomScale="70" zoomScaleNormal="70" workbookViewId="0">
      <pane xSplit="2" ySplit="2" topLeftCell="C20" activePane="bottomRight" state="frozen"/>
      <selection/>
      <selection pane="topRight"/>
      <selection pane="bottomLeft"/>
      <selection pane="bottomRight" activeCell="D25" sqref="D25"/>
    </sheetView>
  </sheetViews>
  <sheetFormatPr defaultColWidth="9.27433628318584" defaultRowHeight="19.1" outlineLevelCol="7"/>
  <cols>
    <col min="1" max="1" width="9.6283185840708" style="3" customWidth="1"/>
    <col min="2" max="2" width="26.5398230088496" style="4" customWidth="1"/>
    <col min="3" max="3" width="18.0973451327434" style="4" customWidth="1"/>
    <col min="4" max="4" width="30.6283185840708" style="4" customWidth="1"/>
    <col min="5" max="5" width="18.6194690265487" style="3" customWidth="1"/>
    <col min="6" max="6" width="143.743362831858" style="3" customWidth="1"/>
    <col min="7" max="7" width="10.9026548672566" style="3" customWidth="1"/>
    <col min="8" max="8" width="105.274336283186" style="5" customWidth="1"/>
    <col min="9" max="16384" width="9.27433628318584" style="6"/>
  </cols>
  <sheetData>
    <row r="1" ht="23.5" customHeight="1" spans="1:8">
      <c r="A1" s="7" t="s">
        <v>0</v>
      </c>
      <c r="B1" s="7"/>
      <c r="C1" s="7"/>
      <c r="D1" s="7"/>
      <c r="E1" s="7"/>
      <c r="F1" s="7"/>
      <c r="G1" s="7"/>
      <c r="H1" s="7"/>
    </row>
    <row r="2" ht="40.5" spans="1:8">
      <c r="A2" s="7" t="s">
        <v>1</v>
      </c>
      <c r="B2" s="8" t="s">
        <v>2</v>
      </c>
      <c r="C2" s="8" t="s">
        <v>3</v>
      </c>
      <c r="D2" s="8" t="s">
        <v>4</v>
      </c>
      <c r="E2" s="8" t="s">
        <v>5</v>
      </c>
      <c r="F2" s="8" t="s">
        <v>6</v>
      </c>
      <c r="G2" s="7" t="s">
        <v>7</v>
      </c>
      <c r="H2" s="7" t="s">
        <v>8</v>
      </c>
    </row>
    <row r="3" ht="144.5" customHeight="1" spans="1:8">
      <c r="A3" s="9">
        <v>1</v>
      </c>
      <c r="B3" s="10" t="s">
        <v>9</v>
      </c>
      <c r="C3" s="11" t="s">
        <v>10</v>
      </c>
      <c r="D3" s="11" t="s">
        <v>10</v>
      </c>
      <c r="E3" s="11">
        <v>2</v>
      </c>
      <c r="F3" s="12" t="s">
        <v>11</v>
      </c>
      <c r="G3" s="11" t="s">
        <v>12</v>
      </c>
      <c r="H3" s="12" t="s">
        <v>13</v>
      </c>
    </row>
    <row r="4" ht="62.5" customHeight="1" spans="1:8">
      <c r="A4" s="13"/>
      <c r="B4" s="14"/>
      <c r="C4" s="11" t="s">
        <v>14</v>
      </c>
      <c r="D4" s="11" t="s">
        <v>15</v>
      </c>
      <c r="E4" s="11">
        <v>2</v>
      </c>
      <c r="F4" s="12" t="s">
        <v>16</v>
      </c>
      <c r="G4" s="11" t="s">
        <v>12</v>
      </c>
      <c r="H4" s="12" t="s">
        <v>17</v>
      </c>
    </row>
    <row r="5" ht="132" customHeight="1" spans="1:8">
      <c r="A5" s="15">
        <v>2</v>
      </c>
      <c r="B5" s="11" t="s">
        <v>18</v>
      </c>
      <c r="C5" s="11" t="s">
        <v>19</v>
      </c>
      <c r="D5" s="11" t="s">
        <v>19</v>
      </c>
      <c r="E5" s="15">
        <v>3</v>
      </c>
      <c r="F5" s="12" t="s">
        <v>20</v>
      </c>
      <c r="G5" s="16" t="s">
        <v>12</v>
      </c>
      <c r="H5" s="17" t="s">
        <v>13</v>
      </c>
    </row>
    <row r="6" ht="114.75" spans="1:8">
      <c r="A6" s="15"/>
      <c r="B6" s="11"/>
      <c r="C6" s="10" t="s">
        <v>21</v>
      </c>
      <c r="D6" s="11" t="s">
        <v>22</v>
      </c>
      <c r="E6" s="15">
        <v>8</v>
      </c>
      <c r="F6" s="12" t="s">
        <v>23</v>
      </c>
      <c r="G6" s="16" t="s">
        <v>12</v>
      </c>
      <c r="H6" s="18" t="s">
        <v>24</v>
      </c>
    </row>
    <row r="7" ht="180" customHeight="1" spans="1:8">
      <c r="A7" s="9">
        <v>3</v>
      </c>
      <c r="B7" s="10" t="s">
        <v>25</v>
      </c>
      <c r="C7" s="10" t="s">
        <v>26</v>
      </c>
      <c r="D7" s="11" t="s">
        <v>27</v>
      </c>
      <c r="E7" s="15">
        <v>3</v>
      </c>
      <c r="F7" s="12" t="s">
        <v>28</v>
      </c>
      <c r="G7" s="11" t="s">
        <v>12</v>
      </c>
      <c r="H7" s="17" t="s">
        <v>29</v>
      </c>
    </row>
    <row r="8" ht="151.5" customHeight="1" spans="1:8">
      <c r="A8" s="13"/>
      <c r="B8" s="14"/>
      <c r="C8" s="10" t="s">
        <v>26</v>
      </c>
      <c r="D8" s="11" t="s">
        <v>30</v>
      </c>
      <c r="E8" s="19">
        <v>5</v>
      </c>
      <c r="F8" s="12" t="s">
        <v>31</v>
      </c>
      <c r="G8" s="11" t="s">
        <v>12</v>
      </c>
      <c r="H8" s="17" t="s">
        <v>32</v>
      </c>
    </row>
    <row r="9" ht="133.9" spans="1:8">
      <c r="A9" s="20"/>
      <c r="B9" s="21"/>
      <c r="C9" s="11" t="s">
        <v>33</v>
      </c>
      <c r="D9" s="11" t="s">
        <v>33</v>
      </c>
      <c r="E9" s="15">
        <v>5</v>
      </c>
      <c r="F9" s="12" t="s">
        <v>34</v>
      </c>
      <c r="G9" s="16" t="s">
        <v>35</v>
      </c>
      <c r="H9" s="17" t="s">
        <v>36</v>
      </c>
    </row>
    <row r="10" ht="145" customHeight="1" spans="1:8">
      <c r="A10" s="13">
        <v>4</v>
      </c>
      <c r="B10" s="14" t="s">
        <v>37</v>
      </c>
      <c r="C10" s="14" t="s">
        <v>38</v>
      </c>
      <c r="D10" s="10" t="s">
        <v>39</v>
      </c>
      <c r="E10" s="15">
        <v>10</v>
      </c>
      <c r="F10" s="17" t="s">
        <v>40</v>
      </c>
      <c r="G10" s="22" t="s">
        <v>12</v>
      </c>
      <c r="H10" s="23" t="s">
        <v>41</v>
      </c>
    </row>
    <row r="11" ht="133.9" spans="1:8">
      <c r="A11" s="13"/>
      <c r="B11" s="14"/>
      <c r="C11" s="14"/>
      <c r="D11" s="14"/>
      <c r="E11" s="15">
        <v>7</v>
      </c>
      <c r="F11" s="17" t="s">
        <v>42</v>
      </c>
      <c r="G11" s="22"/>
      <c r="H11" s="23"/>
    </row>
    <row r="12" ht="105" customHeight="1" spans="1:8">
      <c r="A12" s="13"/>
      <c r="B12" s="14"/>
      <c r="C12" s="14"/>
      <c r="D12" s="14"/>
      <c r="E12" s="15">
        <v>3</v>
      </c>
      <c r="F12" s="17" t="s">
        <v>43</v>
      </c>
      <c r="G12" s="22"/>
      <c r="H12" s="23"/>
    </row>
    <row r="13" ht="114" customHeight="1" spans="1:8">
      <c r="A13" s="13"/>
      <c r="B13" s="14"/>
      <c r="C13" s="14"/>
      <c r="D13" s="14"/>
      <c r="E13" s="15">
        <v>3</v>
      </c>
      <c r="F13" s="17" t="s">
        <v>44</v>
      </c>
      <c r="G13" s="22"/>
      <c r="H13" s="23"/>
    </row>
    <row r="14" ht="114" customHeight="1" spans="1:8">
      <c r="A14" s="13"/>
      <c r="B14" s="14"/>
      <c r="C14" s="14"/>
      <c r="D14" s="14"/>
      <c r="E14" s="15">
        <v>4</v>
      </c>
      <c r="F14" s="17" t="s">
        <v>45</v>
      </c>
      <c r="G14" s="22"/>
      <c r="H14" s="23"/>
    </row>
    <row r="15" ht="133.9" spans="1:8">
      <c r="A15" s="13"/>
      <c r="B15" s="14"/>
      <c r="C15" s="14"/>
      <c r="D15" s="10" t="s">
        <v>46</v>
      </c>
      <c r="E15" s="9">
        <v>4</v>
      </c>
      <c r="F15" s="17" t="s">
        <v>47</v>
      </c>
      <c r="G15" s="22"/>
      <c r="H15" s="23"/>
    </row>
    <row r="16" ht="95.65" spans="1:8">
      <c r="A16" s="13"/>
      <c r="B16" s="14"/>
      <c r="C16" s="14"/>
      <c r="D16" s="14"/>
      <c r="E16" s="15">
        <v>4</v>
      </c>
      <c r="F16" s="17" t="s">
        <v>48</v>
      </c>
      <c r="G16" s="22"/>
      <c r="H16" s="23"/>
    </row>
    <row r="17" ht="210.4" spans="1:8">
      <c r="A17" s="13"/>
      <c r="B17" s="14"/>
      <c r="C17" s="14"/>
      <c r="D17" s="21"/>
      <c r="E17" s="15">
        <v>8</v>
      </c>
      <c r="F17" s="17" t="s">
        <v>49</v>
      </c>
      <c r="G17" s="22"/>
      <c r="H17" s="23"/>
    </row>
    <row r="18" ht="114.75" spans="1:8">
      <c r="A18" s="13"/>
      <c r="B18" s="14"/>
      <c r="C18" s="14"/>
      <c r="D18" s="10" t="s">
        <v>50</v>
      </c>
      <c r="E18" s="15">
        <v>8</v>
      </c>
      <c r="F18" s="17" t="s">
        <v>51</v>
      </c>
      <c r="G18" s="22"/>
      <c r="H18" s="23"/>
    </row>
    <row r="19" ht="191.25" spans="1:8">
      <c r="A19" s="13"/>
      <c r="B19" s="14"/>
      <c r="C19" s="14"/>
      <c r="D19" s="14"/>
      <c r="E19" s="15">
        <v>8</v>
      </c>
      <c r="F19" s="17" t="s">
        <v>52</v>
      </c>
      <c r="G19" s="22"/>
      <c r="H19" s="23"/>
    </row>
    <row r="20" ht="95.65" spans="1:8">
      <c r="A20" s="13"/>
      <c r="B20" s="14"/>
      <c r="C20" s="14"/>
      <c r="D20" s="11" t="s">
        <v>53</v>
      </c>
      <c r="E20" s="15">
        <v>2</v>
      </c>
      <c r="F20" s="17" t="s">
        <v>54</v>
      </c>
      <c r="G20" s="22"/>
      <c r="H20" s="23"/>
    </row>
    <row r="21" ht="172.15" spans="1:8">
      <c r="A21" s="13"/>
      <c r="B21" s="14"/>
      <c r="C21" s="14"/>
      <c r="D21" s="11"/>
      <c r="E21" s="15">
        <v>4</v>
      </c>
      <c r="F21" s="17" t="s">
        <v>55</v>
      </c>
      <c r="G21" s="22"/>
      <c r="H21" s="23"/>
    </row>
    <row r="22" ht="38.25" spans="1:8">
      <c r="A22" s="13"/>
      <c r="B22" s="10" t="s">
        <v>56</v>
      </c>
      <c r="C22" s="11" t="s">
        <v>57</v>
      </c>
      <c r="D22" s="12" t="s">
        <v>58</v>
      </c>
      <c r="E22" s="11">
        <v>2</v>
      </c>
      <c r="F22" s="12" t="s">
        <v>59</v>
      </c>
      <c r="G22" s="16" t="s">
        <v>12</v>
      </c>
      <c r="H22" s="17" t="s">
        <v>60</v>
      </c>
    </row>
    <row r="23" ht="70.5" customHeight="1" spans="1:8">
      <c r="A23" s="20"/>
      <c r="B23" s="21"/>
      <c r="C23" s="11"/>
      <c r="D23" s="12" t="s">
        <v>61</v>
      </c>
      <c r="E23" s="11">
        <v>1</v>
      </c>
      <c r="F23" s="12" t="s">
        <v>62</v>
      </c>
      <c r="G23" s="11" t="s">
        <v>12</v>
      </c>
      <c r="H23" s="17" t="s">
        <v>60</v>
      </c>
    </row>
    <row r="24" ht="70.5" customHeight="1" spans="1:8">
      <c r="A24" s="11">
        <v>5</v>
      </c>
      <c r="B24" s="11" t="s">
        <v>63</v>
      </c>
      <c r="C24" s="11" t="s">
        <v>64</v>
      </c>
      <c r="D24" s="11" t="s">
        <v>64</v>
      </c>
      <c r="E24" s="11">
        <v>1</v>
      </c>
      <c r="F24" s="11" t="s">
        <v>65</v>
      </c>
      <c r="G24" s="11" t="s">
        <v>12</v>
      </c>
      <c r="H24" s="17" t="s">
        <v>60</v>
      </c>
    </row>
    <row r="25" ht="42.5" customHeight="1" spans="1:8">
      <c r="A25" s="15">
        <v>6</v>
      </c>
      <c r="B25" s="11" t="s">
        <v>66</v>
      </c>
      <c r="C25" s="11" t="s">
        <v>67</v>
      </c>
      <c r="D25" s="11" t="s">
        <v>68</v>
      </c>
      <c r="E25" s="15">
        <v>1</v>
      </c>
      <c r="F25" s="17" t="s">
        <v>69</v>
      </c>
      <c r="G25" s="16" t="s">
        <v>12</v>
      </c>
      <c r="H25" s="17" t="s">
        <v>60</v>
      </c>
    </row>
    <row r="26" ht="89.5" customHeight="1" spans="1:8">
      <c r="A26" s="15"/>
      <c r="B26" s="11"/>
      <c r="C26" s="11" t="s">
        <v>70</v>
      </c>
      <c r="D26" s="11" t="s">
        <v>70</v>
      </c>
      <c r="E26" s="15">
        <v>2</v>
      </c>
      <c r="F26" s="17" t="s">
        <v>71</v>
      </c>
      <c r="G26" s="24" t="s">
        <v>35</v>
      </c>
      <c r="H26" s="17" t="s">
        <v>72</v>
      </c>
    </row>
    <row r="27" spans="1:8">
      <c r="A27" s="15" t="s">
        <v>73</v>
      </c>
      <c r="B27" s="15"/>
      <c r="C27" s="15"/>
      <c r="D27" s="15"/>
      <c r="E27" s="15">
        <f>SUM(E3:E26)</f>
        <v>100</v>
      </c>
      <c r="F27" s="15"/>
      <c r="G27" s="16"/>
      <c r="H27" s="25"/>
    </row>
    <row r="28" ht="19.15" spans="1:8">
      <c r="A28" s="11" t="s">
        <v>74</v>
      </c>
      <c r="B28" s="17" t="s">
        <v>75</v>
      </c>
      <c r="C28" s="17"/>
      <c r="D28" s="11"/>
      <c r="E28" s="17"/>
      <c r="F28" s="17"/>
      <c r="G28" s="15"/>
      <c r="H28" s="26"/>
    </row>
    <row r="29" spans="1:8">
      <c r="A29" s="11"/>
      <c r="B29" s="17" t="s">
        <v>76</v>
      </c>
      <c r="C29" s="17"/>
      <c r="D29" s="11"/>
      <c r="E29" s="17"/>
      <c r="F29" s="17"/>
      <c r="G29" s="17"/>
      <c r="H29" s="26"/>
    </row>
    <row r="30" spans="1:8">
      <c r="A30" s="27"/>
      <c r="B30" s="17" t="s">
        <v>77</v>
      </c>
      <c r="C30" s="17"/>
      <c r="D30" s="11"/>
      <c r="E30" s="17"/>
      <c r="F30" s="17"/>
      <c r="G30" s="15"/>
      <c r="H30" s="25"/>
    </row>
  </sheetData>
  <mergeCells count="25">
    <mergeCell ref="A1:H1"/>
    <mergeCell ref="A27:C27"/>
    <mergeCell ref="B28:F28"/>
    <mergeCell ref="B29:G29"/>
    <mergeCell ref="B30:F30"/>
    <mergeCell ref="A3:A4"/>
    <mergeCell ref="A5:A6"/>
    <mergeCell ref="A7:A9"/>
    <mergeCell ref="A10:A21"/>
    <mergeCell ref="A22:A23"/>
    <mergeCell ref="A25:A26"/>
    <mergeCell ref="B3:B4"/>
    <mergeCell ref="B5:B6"/>
    <mergeCell ref="B7:B9"/>
    <mergeCell ref="B10:B21"/>
    <mergeCell ref="B22:B23"/>
    <mergeCell ref="B25:B26"/>
    <mergeCell ref="C10:C21"/>
    <mergeCell ref="C22:C23"/>
    <mergeCell ref="D10:D14"/>
    <mergeCell ref="D15:D17"/>
    <mergeCell ref="D18:D19"/>
    <mergeCell ref="D20:D21"/>
    <mergeCell ref="G10:G21"/>
    <mergeCell ref="H10:H2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zoomScale="190" zoomScaleNormal="190" workbookViewId="0">
      <selection activeCell="A2" sqref="A2"/>
    </sheetView>
  </sheetViews>
  <sheetFormatPr defaultColWidth="9" defaultRowHeight="13.5"/>
  <cols>
    <col min="1" max="1" width="52.8230088495575" customWidth="1"/>
  </cols>
  <sheetData>
    <row r="1" s="1" customFormat="1" ht="99.5" customHeight="1" spans="1:1">
      <c r="A1" s="2" t="s">
        <v>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毕玉平</cp:lastModifiedBy>
  <dcterms:created xsi:type="dcterms:W3CDTF">2026-04-30T07:52:00Z</dcterms:created>
  <dcterms:modified xsi:type="dcterms:W3CDTF">2026-08-25T09:25:12Z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CD6E54AB938A4E479A14D2C86532CAAF</vt:lpwstr>
  </property>
  <property fmtid="{D5CDD505-2E9C-101B-9397-08002B2CF9AE}" pid="3" name="KSOProductBuildVer">
    <vt:lpwstr>2052-11.8.2.12309</vt:lpwstr>
  </property>
  <property fmtid="{D5CDD505-2E9C-101B-9397-08002B2CF9AE}" pid="4" name="CalculationRule">
    <vt:i4>0</vt:i4>
  </property>
</Properties>
</file>